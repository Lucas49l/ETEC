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ucas\TI\Repositórios\Mod1-OSA\Aulas\04 - 28 (Const.se - Soma.se)\"/>
    </mc:Choice>
  </mc:AlternateContent>
  <xr:revisionPtr revIDLastSave="0" documentId="8_{B436F224-9EF3-4708-80D9-EFC96FB517CD}" xr6:coauthVersionLast="47" xr6:coauthVersionMax="47" xr10:uidLastSave="{00000000-0000-0000-0000-000000000000}"/>
  <bookViews>
    <workbookView xWindow="-120" yWindow="-120" windowWidth="15600" windowHeight="11160" xr2:uid="{5E2DE537-3CEC-4079-A5E2-A68900A52113}"/>
  </bookViews>
  <sheets>
    <sheet name="Planilha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1" i="1" l="1"/>
  <c r="C31" i="1"/>
  <c r="E29" i="1"/>
  <c r="C29" i="1"/>
  <c r="E30" i="1"/>
  <c r="C30" i="1"/>
  <c r="E26" i="1"/>
  <c r="F26" i="1"/>
  <c r="D26" i="1"/>
  <c r="C26" i="1"/>
  <c r="G14" i="1"/>
  <c r="H14" i="1" s="1"/>
  <c r="G17" i="1"/>
  <c r="H17" i="1" s="1"/>
  <c r="G19" i="1"/>
  <c r="H19" i="1" s="1"/>
  <c r="G22" i="1"/>
  <c r="H22" i="1" s="1"/>
  <c r="G12" i="1"/>
  <c r="H12" i="1" s="1"/>
  <c r="G25" i="1"/>
  <c r="H25" i="1" s="1"/>
  <c r="G10" i="1"/>
  <c r="H10" i="1" s="1"/>
  <c r="G21" i="1"/>
  <c r="H21" i="1" s="1"/>
  <c r="G4" i="1"/>
  <c r="G13" i="1"/>
  <c r="H13" i="1" s="1"/>
  <c r="G23" i="1"/>
  <c r="H23" i="1" s="1"/>
  <c r="G15" i="1"/>
  <c r="H15" i="1" s="1"/>
  <c r="G9" i="1"/>
  <c r="H9" i="1" s="1"/>
  <c r="G18" i="1"/>
  <c r="H18" i="1" s="1"/>
  <c r="G5" i="1"/>
  <c r="H5" i="1" s="1"/>
  <c r="G20" i="1"/>
  <c r="H20" i="1" s="1"/>
  <c r="G6" i="1"/>
  <c r="H6" i="1" s="1"/>
  <c r="G16" i="1"/>
  <c r="H16" i="1" s="1"/>
  <c r="G7" i="1"/>
  <c r="H7" i="1" s="1"/>
  <c r="G11" i="1"/>
  <c r="H11" i="1" s="1"/>
  <c r="G8" i="1"/>
  <c r="H8" i="1" s="1"/>
  <c r="G24" i="1"/>
  <c r="H24" i="1" s="1"/>
  <c r="G26" i="1" l="1"/>
  <c r="H4" i="1"/>
  <c r="H26" i="1" s="1"/>
</calcChain>
</file>

<file path=xl/sharedStrings.xml><?xml version="1.0" encoding="utf-8"?>
<sst xmlns="http://schemas.openxmlformats.org/spreadsheetml/2006/main" count="59" uniqueCount="37">
  <si>
    <t>ETEC UIRAPURU - FOLHA DE PAGAMENTO - VALORES DO IRPF E INSS EM REAIS</t>
  </si>
  <si>
    <t>NOME DO FUNCIONÁRIO</t>
  </si>
  <si>
    <t>SEÇÃO</t>
  </si>
  <si>
    <t>JORNADA</t>
  </si>
  <si>
    <t>SAL. BRUTO</t>
  </si>
  <si>
    <t>INSS</t>
  </si>
  <si>
    <t>IRPF</t>
  </si>
  <si>
    <t>SIND.</t>
  </si>
  <si>
    <t>LÍQ.</t>
  </si>
  <si>
    <t>WILLIAN ALMEIDA MESQUITA</t>
  </si>
  <si>
    <t>FINAN</t>
  </si>
  <si>
    <t>NICOLI DE PAULA SEVERINO</t>
  </si>
  <si>
    <t>CONTAB</t>
  </si>
  <si>
    <t>REINALDO DE SOUZA FERREIRA</t>
  </si>
  <si>
    <t>RODRIGO FRANCA PAIVA</t>
  </si>
  <si>
    <t>THAIS HELENA HENRIQUE</t>
  </si>
  <si>
    <t>MATHEUS OLIVEIRA DE AZEVEDO</t>
  </si>
  <si>
    <t>YURE OLIVEIRA TELES</t>
  </si>
  <si>
    <t>LUIS CARLOS MONTEIRO</t>
  </si>
  <si>
    <t>TAYANNE F. DOS SANTOS</t>
  </si>
  <si>
    <t>ERICA GAMA QUEIROZ</t>
  </si>
  <si>
    <t>ADM</t>
  </si>
  <si>
    <t>MIRIAM MARIA DE C. MIRANDA</t>
  </si>
  <si>
    <t>THIAGO GOMES BARBOZA BASILIO</t>
  </si>
  <si>
    <t>NILDA DE SOUZA BRITO</t>
  </si>
  <si>
    <t>LUCIMAR DA ROCHA</t>
  </si>
  <si>
    <t>RICARDO SILVA DOS SANTOS</t>
  </si>
  <si>
    <t>GEISA ALVES CARVALHO</t>
  </si>
  <si>
    <t>TAMIRES DOS SANTOS REIS</t>
  </si>
  <si>
    <t>HELTON QUEIROZ ROCHA</t>
  </si>
  <si>
    <t>RAFAEL FONSECA DE SOUSA</t>
  </si>
  <si>
    <t>JULIO GABRIEL GOMES DE SOUZA</t>
  </si>
  <si>
    <t>MARCOS FERNANDES GOMES</t>
  </si>
  <si>
    <t>LEONARDO MENEZES MARTUCCI</t>
  </si>
  <si>
    <t>TOTAIS</t>
  </si>
  <si>
    <t>TRABALHO POR ÁREA</t>
  </si>
  <si>
    <t>GASTO POR ÀREA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</si>
</sst>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&quot;\ #,##0.00"/>
    <numFmt numFmtId="165" formatCode="[h]:mm:ss;@"/>
    <numFmt numFmtId="166" formatCode="[$-F800]dddd\,\ mmmm\ dd\,\ yyyy"/>
  </numFmts>
  <fonts count="5" x14ac:knownFonts="1">
    <font>
      <sz val="11"/>
      <color theme="1"/>
      <name val="Calibri"/>
      <family val="2"/>
      <scheme val="minor"/>
    </font>
    <font>
      <b/>
      <i/>
      <sz val="14"/>
      <color rgb="FF0066CC"/>
      <name val="Verdana"/>
      <family val="2"/>
    </font>
    <font>
      <b/>
      <u/>
      <sz val="12"/>
      <color rgb="FFFF430A"/>
      <name val="Arial"/>
      <family val="2"/>
    </font>
    <font>
      <sz val="10"/>
      <color rgb="FF00A200"/>
      <name val="Courier New"/>
      <family val="3"/>
    </font>
    <font>
      <b/>
      <sz val="10"/>
      <color rgb="FF00A2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DF00"/>
        <bgColor indexed="64"/>
      </patternFill>
    </fill>
  </fills>
  <borders count="3">
    <border>
      <left/>
      <right/>
      <top/>
      <bottom/>
      <diagonal/>
    </border>
    <border>
      <left style="mediumDashed">
        <color rgb="FFFFDF00"/>
      </left>
      <right style="mediumDashed">
        <color rgb="FFFFDF00"/>
      </right>
      <top style="mediumDashed">
        <color rgb="FFFFDF00"/>
      </top>
      <bottom style="mediumDashed">
        <color rgb="FFFFDF00"/>
      </bottom>
      <diagonal/>
    </border>
    <border>
      <left style="mediumDashed">
        <color rgb="FFFFDF00"/>
      </left>
      <right/>
      <top style="mediumDashed">
        <color rgb="FFFFDF00"/>
      </top>
      <bottom style="mediumDashed">
        <color rgb="FFFFDF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0" xfId="0" applyFont="1"/>
    <xf numFmtId="166" fontId="1" fillId="0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right" vertical="center" wrapText="1"/>
    </xf>
    <xf numFmtId="164" fontId="4" fillId="0" borderId="1" xfId="0" applyNumberFormat="1" applyFont="1" applyBorder="1" applyAlignment="1">
      <alignment horizontal="right" vertical="center" wrapText="1"/>
    </xf>
    <xf numFmtId="165" fontId="4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Border="1"/>
    <xf numFmtId="0" fontId="2" fillId="0" borderId="0" xfId="0" applyFont="1" applyBorder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DF00"/>
      <color rgb="FF00A200"/>
      <color rgb="FF00EE00"/>
      <color rgb="FF0066CC"/>
      <color rgb="FF00FFE2"/>
      <color rgb="FFFF430A"/>
      <color rgb="FFFFFACD"/>
      <color rgb="FF00FF66"/>
      <color rgb="FF87CE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D7423-58E6-43BB-B712-D003CA7AD8D5}">
  <dimension ref="A1:J31"/>
  <sheetViews>
    <sheetView tabSelected="1" zoomScaleNormal="100" workbookViewId="0">
      <selection activeCell="A29" sqref="A29"/>
    </sheetView>
  </sheetViews>
  <sheetFormatPr defaultRowHeight="15" x14ac:dyDescent="0.25"/>
  <cols>
    <col min="1" max="1" width="33.85546875" bestFit="1" customWidth="1"/>
    <col min="2" max="2" width="9.28515625" customWidth="1"/>
    <col min="3" max="8" width="15.7109375" customWidth="1"/>
  </cols>
  <sheetData>
    <row r="1" spans="1:10" ht="45.75" customHeight="1" thickBot="1" x14ac:dyDescent="0.3">
      <c r="A1" s="6" t="s">
        <v>0</v>
      </c>
      <c r="B1" s="6"/>
      <c r="C1" s="6"/>
      <c r="D1" s="6"/>
      <c r="E1" s="6"/>
      <c r="F1" s="6"/>
      <c r="G1" s="6"/>
      <c r="H1" s="6"/>
    </row>
    <row r="2" spans="1:10" ht="30" customHeight="1" thickBot="1" x14ac:dyDescent="0.3">
      <c r="A2" s="4">
        <v>45795</v>
      </c>
      <c r="B2" s="4"/>
      <c r="C2" s="4"/>
      <c r="D2" s="4"/>
      <c r="E2" s="4"/>
      <c r="F2" s="4"/>
      <c r="G2" s="4"/>
      <c r="H2" s="4"/>
      <c r="J2" s="3"/>
    </row>
    <row r="3" spans="1:10" ht="30" customHeight="1" thickBot="1" x14ac:dyDescent="0.3">
      <c r="A3" s="1" t="s">
        <v>1</v>
      </c>
      <c r="B3" s="2" t="s">
        <v>2</v>
      </c>
      <c r="C3" s="1" t="s">
        <v>3</v>
      </c>
      <c r="D3" s="1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10" ht="15" customHeight="1" thickBot="1" x14ac:dyDescent="0.3">
      <c r="A4" s="7" t="s">
        <v>20</v>
      </c>
      <c r="B4" s="8" t="s">
        <v>21</v>
      </c>
      <c r="C4" s="9">
        <v>0.33333333333333331</v>
      </c>
      <c r="D4" s="10">
        <v>2500</v>
      </c>
      <c r="E4" s="10">
        <v>252</v>
      </c>
      <c r="F4" s="10">
        <v>300</v>
      </c>
      <c r="G4" s="11">
        <f>(D4/100)*3</f>
        <v>75</v>
      </c>
      <c r="H4" s="11">
        <f>D4-(E4+F4+G4)</f>
        <v>1873</v>
      </c>
    </row>
    <row r="5" spans="1:10" ht="15" customHeight="1" thickBot="1" x14ac:dyDescent="0.3">
      <c r="A5" s="7" t="s">
        <v>27</v>
      </c>
      <c r="B5" s="8" t="s">
        <v>21</v>
      </c>
      <c r="C5" s="9">
        <v>0.33333333333333331</v>
      </c>
      <c r="D5" s="10">
        <v>3600</v>
      </c>
      <c r="E5" s="10">
        <v>350</v>
      </c>
      <c r="F5" s="10">
        <v>250</v>
      </c>
      <c r="G5" s="11">
        <f>(D5/100)*3</f>
        <v>108</v>
      </c>
      <c r="H5" s="11">
        <f>D5-(E5+F5+G5)</f>
        <v>2892</v>
      </c>
    </row>
    <row r="6" spans="1:10" ht="15" customHeight="1" thickBot="1" x14ac:dyDescent="0.3">
      <c r="A6" s="7" t="s">
        <v>29</v>
      </c>
      <c r="B6" s="8" t="s">
        <v>21</v>
      </c>
      <c r="C6" s="9">
        <v>0.33333333333333331</v>
      </c>
      <c r="D6" s="10">
        <v>3560</v>
      </c>
      <c r="E6" s="10">
        <v>365</v>
      </c>
      <c r="F6" s="10">
        <v>300</v>
      </c>
      <c r="G6" s="11">
        <f>(D6/100)*3</f>
        <v>106.80000000000001</v>
      </c>
      <c r="H6" s="11">
        <f>D6-(E6+F6+G6)</f>
        <v>2788.2</v>
      </c>
    </row>
    <row r="7" spans="1:10" ht="15" customHeight="1" thickBot="1" x14ac:dyDescent="0.3">
      <c r="A7" s="7" t="s">
        <v>31</v>
      </c>
      <c r="B7" s="8" t="s">
        <v>21</v>
      </c>
      <c r="C7" s="9">
        <v>0.33333333333333331</v>
      </c>
      <c r="D7" s="10">
        <v>4500</v>
      </c>
      <c r="E7" s="10">
        <v>412</v>
      </c>
      <c r="F7" s="10">
        <v>400</v>
      </c>
      <c r="G7" s="11">
        <f>(D7/100)*3</f>
        <v>135</v>
      </c>
      <c r="H7" s="11">
        <f>D7-(E7+F7+G7)</f>
        <v>3553</v>
      </c>
    </row>
    <row r="8" spans="1:10" ht="15" customHeight="1" thickBot="1" x14ac:dyDescent="0.3">
      <c r="A8" s="7" t="s">
        <v>33</v>
      </c>
      <c r="B8" s="8" t="s">
        <v>21</v>
      </c>
      <c r="C8" s="9">
        <v>0.33333333333333331</v>
      </c>
      <c r="D8" s="10">
        <v>3000</v>
      </c>
      <c r="E8" s="10">
        <v>320</v>
      </c>
      <c r="F8" s="10">
        <v>300</v>
      </c>
      <c r="G8" s="11">
        <f>(D8/100)*3</f>
        <v>90</v>
      </c>
      <c r="H8" s="11">
        <f>D8-(E8+F8+G8)</f>
        <v>2290</v>
      </c>
    </row>
    <row r="9" spans="1:10" ht="15" customHeight="1" thickBot="1" x14ac:dyDescent="0.3">
      <c r="A9" s="7" t="s">
        <v>25</v>
      </c>
      <c r="B9" s="8" t="s">
        <v>21</v>
      </c>
      <c r="C9" s="9">
        <v>0.33333333333333331</v>
      </c>
      <c r="D9" s="10">
        <v>3321</v>
      </c>
      <c r="E9" s="10">
        <v>330</v>
      </c>
      <c r="F9" s="10">
        <v>300</v>
      </c>
      <c r="G9" s="11">
        <f>(D9/100)*3</f>
        <v>99.63</v>
      </c>
      <c r="H9" s="11">
        <f>D9-(E9+F9+G9)</f>
        <v>2591.37</v>
      </c>
    </row>
    <row r="10" spans="1:10" ht="15" customHeight="1" thickBot="1" x14ac:dyDescent="0.3">
      <c r="A10" s="7" t="s">
        <v>18</v>
      </c>
      <c r="B10" s="8" t="s">
        <v>12</v>
      </c>
      <c r="C10" s="9">
        <v>0.375</v>
      </c>
      <c r="D10" s="10">
        <v>2500</v>
      </c>
      <c r="E10" s="10">
        <v>245</v>
      </c>
      <c r="F10" s="10">
        <v>213</v>
      </c>
      <c r="G10" s="11">
        <f>(D10/100)*3</f>
        <v>75</v>
      </c>
      <c r="H10" s="11">
        <f>D10-(E10+F10+G10)</f>
        <v>1967</v>
      </c>
    </row>
    <row r="11" spans="1:10" ht="15" customHeight="1" thickBot="1" x14ac:dyDescent="0.3">
      <c r="A11" s="7" t="s">
        <v>32</v>
      </c>
      <c r="B11" s="8" t="s">
        <v>12</v>
      </c>
      <c r="C11" s="9">
        <v>0.375</v>
      </c>
      <c r="D11" s="10">
        <v>4300</v>
      </c>
      <c r="E11" s="10">
        <v>420</v>
      </c>
      <c r="F11" s="10">
        <v>400</v>
      </c>
      <c r="G11" s="11">
        <f>(D11/100)*3</f>
        <v>129</v>
      </c>
      <c r="H11" s="11">
        <f>D11-(E11+F11+G11)</f>
        <v>3351</v>
      </c>
    </row>
    <row r="12" spans="1:10" ht="15" customHeight="1" thickBot="1" x14ac:dyDescent="0.3">
      <c r="A12" s="7" t="s">
        <v>16</v>
      </c>
      <c r="B12" s="8" t="s">
        <v>12</v>
      </c>
      <c r="C12" s="9">
        <v>0.375</v>
      </c>
      <c r="D12" s="10">
        <v>2350</v>
      </c>
      <c r="E12" s="10">
        <v>210</v>
      </c>
      <c r="F12" s="10">
        <v>320</v>
      </c>
      <c r="G12" s="11">
        <f>(D12/100)*3</f>
        <v>70.5</v>
      </c>
      <c r="H12" s="11">
        <f>D12-(E12+F12+G12)</f>
        <v>1749.5</v>
      </c>
    </row>
    <row r="13" spans="1:10" ht="15" customHeight="1" thickBot="1" x14ac:dyDescent="0.3">
      <c r="A13" s="7" t="s">
        <v>22</v>
      </c>
      <c r="B13" s="8" t="s">
        <v>12</v>
      </c>
      <c r="C13" s="9">
        <v>0.375</v>
      </c>
      <c r="D13" s="10">
        <v>2500</v>
      </c>
      <c r="E13" s="10">
        <v>255</v>
      </c>
      <c r="F13" s="10">
        <v>233</v>
      </c>
      <c r="G13" s="11">
        <f>(D13/100)*3</f>
        <v>75</v>
      </c>
      <c r="H13" s="11">
        <f>D13-(E13+F13+G13)</f>
        <v>1937</v>
      </c>
    </row>
    <row r="14" spans="1:10" ht="15" customHeight="1" thickBot="1" x14ac:dyDescent="0.3">
      <c r="A14" s="7" t="s">
        <v>11</v>
      </c>
      <c r="B14" s="8" t="s">
        <v>12</v>
      </c>
      <c r="C14" s="9">
        <v>0.375</v>
      </c>
      <c r="D14" s="10">
        <v>1500</v>
      </c>
      <c r="E14" s="10">
        <v>140</v>
      </c>
      <c r="F14" s="10">
        <v>110</v>
      </c>
      <c r="G14" s="11">
        <f>(D14/100)*3</f>
        <v>45</v>
      </c>
      <c r="H14" s="11">
        <f>D14-(E14+F14+G14)</f>
        <v>1205</v>
      </c>
    </row>
    <row r="15" spans="1:10" ht="15" customHeight="1" thickBot="1" x14ac:dyDescent="0.3">
      <c r="A15" s="7" t="s">
        <v>24</v>
      </c>
      <c r="B15" s="8" t="s">
        <v>12</v>
      </c>
      <c r="C15" s="9">
        <v>0.375</v>
      </c>
      <c r="D15" s="10">
        <v>3200</v>
      </c>
      <c r="E15" s="10">
        <v>315</v>
      </c>
      <c r="F15" s="10">
        <v>285</v>
      </c>
      <c r="G15" s="11">
        <f>(D15/100)*3</f>
        <v>96</v>
      </c>
      <c r="H15" s="11">
        <f>D15-(E15+F15+G15)</f>
        <v>2504</v>
      </c>
    </row>
    <row r="16" spans="1:10" ht="15" customHeight="1" thickBot="1" x14ac:dyDescent="0.3">
      <c r="A16" s="7" t="s">
        <v>30</v>
      </c>
      <c r="B16" s="8" t="s">
        <v>12</v>
      </c>
      <c r="C16" s="9">
        <v>0.375</v>
      </c>
      <c r="D16" s="10">
        <v>4012</v>
      </c>
      <c r="E16" s="10">
        <v>400</v>
      </c>
      <c r="F16" s="10">
        <v>350</v>
      </c>
      <c r="G16" s="11">
        <f>(D16/100)*3</f>
        <v>120.35999999999999</v>
      </c>
      <c r="H16" s="11">
        <f>D16-(E16+F16+G16)</f>
        <v>3141.64</v>
      </c>
    </row>
    <row r="17" spans="1:8" ht="15" customHeight="1" thickBot="1" x14ac:dyDescent="0.3">
      <c r="A17" s="7" t="s">
        <v>13</v>
      </c>
      <c r="B17" s="8" t="s">
        <v>10</v>
      </c>
      <c r="C17" s="9">
        <v>0.41666666666666669</v>
      </c>
      <c r="D17" s="10">
        <v>1250</v>
      </c>
      <c r="E17" s="10">
        <v>156</v>
      </c>
      <c r="F17" s="10">
        <v>120</v>
      </c>
      <c r="G17" s="11">
        <f>(D17/100)*3</f>
        <v>37.5</v>
      </c>
      <c r="H17" s="11">
        <f>D17-(E17+F17+G17)</f>
        <v>936.5</v>
      </c>
    </row>
    <row r="18" spans="1:8" ht="15" customHeight="1" thickBot="1" x14ac:dyDescent="0.3">
      <c r="A18" s="7" t="s">
        <v>26</v>
      </c>
      <c r="B18" s="8" t="s">
        <v>10</v>
      </c>
      <c r="C18" s="9">
        <v>0.41666666666666669</v>
      </c>
      <c r="D18" s="10">
        <v>3350</v>
      </c>
      <c r="E18" s="10">
        <v>330</v>
      </c>
      <c r="F18" s="10">
        <v>300</v>
      </c>
      <c r="G18" s="11">
        <f>(D18/100)*3</f>
        <v>100.5</v>
      </c>
      <c r="H18" s="11">
        <f>D18-(E18+F18+G18)</f>
        <v>2619.5</v>
      </c>
    </row>
    <row r="19" spans="1:8" ht="15" customHeight="1" thickBot="1" x14ac:dyDescent="0.3">
      <c r="A19" s="7" t="s">
        <v>14</v>
      </c>
      <c r="B19" s="8" t="s">
        <v>10</v>
      </c>
      <c r="C19" s="9">
        <v>0.41666666666666669</v>
      </c>
      <c r="D19" s="10">
        <v>1713</v>
      </c>
      <c r="E19" s="10">
        <v>171</v>
      </c>
      <c r="F19" s="10">
        <v>150</v>
      </c>
      <c r="G19" s="11">
        <f>(D19/100)*3</f>
        <v>51.39</v>
      </c>
      <c r="H19" s="11">
        <f>D19-(E19+F19+G19)</f>
        <v>1340.6100000000001</v>
      </c>
    </row>
    <row r="20" spans="1:8" ht="15" customHeight="1" thickBot="1" x14ac:dyDescent="0.3">
      <c r="A20" s="7" t="s">
        <v>28</v>
      </c>
      <c r="B20" s="8" t="s">
        <v>10</v>
      </c>
      <c r="C20" s="9">
        <v>0.41666666666666669</v>
      </c>
      <c r="D20" s="10">
        <v>3640</v>
      </c>
      <c r="E20" s="10">
        <v>350</v>
      </c>
      <c r="F20" s="10">
        <v>320</v>
      </c>
      <c r="G20" s="11">
        <f>(D20/100)*3</f>
        <v>109.19999999999999</v>
      </c>
      <c r="H20" s="11">
        <f>D20-(E20+F20+G20)</f>
        <v>2860.8</v>
      </c>
    </row>
    <row r="21" spans="1:8" ht="15" customHeight="1" thickBot="1" x14ac:dyDescent="0.3">
      <c r="A21" s="7" t="s">
        <v>19</v>
      </c>
      <c r="B21" s="8" t="s">
        <v>10</v>
      </c>
      <c r="C21" s="9">
        <v>0.41666666666666669</v>
      </c>
      <c r="D21" s="10">
        <v>2530</v>
      </c>
      <c r="E21" s="10">
        <v>250</v>
      </c>
      <c r="F21" s="10">
        <v>221</v>
      </c>
      <c r="G21" s="11">
        <f>(D21/100)*3</f>
        <v>75.900000000000006</v>
      </c>
      <c r="H21" s="11">
        <f>D21-(E21+F21+G21)</f>
        <v>1983.1</v>
      </c>
    </row>
    <row r="22" spans="1:8" ht="15" customHeight="1" thickBot="1" x14ac:dyDescent="0.3">
      <c r="A22" s="7" t="s">
        <v>15</v>
      </c>
      <c r="B22" s="8" t="s">
        <v>10</v>
      </c>
      <c r="C22" s="9">
        <v>0.41666666666666669</v>
      </c>
      <c r="D22" s="10">
        <v>2000</v>
      </c>
      <c r="E22" s="10">
        <v>196</v>
      </c>
      <c r="F22" s="10">
        <v>145</v>
      </c>
      <c r="G22" s="11">
        <f>(D22/100)*3</f>
        <v>60</v>
      </c>
      <c r="H22" s="11">
        <f>D22-(E22+F22+G22)</f>
        <v>1599</v>
      </c>
    </row>
    <row r="23" spans="1:8" ht="15" customHeight="1" thickBot="1" x14ac:dyDescent="0.3">
      <c r="A23" s="7" t="s">
        <v>23</v>
      </c>
      <c r="B23" s="8" t="s">
        <v>10</v>
      </c>
      <c r="C23" s="9">
        <v>0.41666666666666669</v>
      </c>
      <c r="D23" s="10">
        <v>2879</v>
      </c>
      <c r="E23" s="10">
        <v>289</v>
      </c>
      <c r="F23" s="10">
        <v>245</v>
      </c>
      <c r="G23" s="11">
        <f>(D23/100)*3</f>
        <v>86.37</v>
      </c>
      <c r="H23" s="11">
        <f>D23-(E23+F23+G23)</f>
        <v>2258.63</v>
      </c>
    </row>
    <row r="24" spans="1:8" ht="15" customHeight="1" thickBot="1" x14ac:dyDescent="0.3">
      <c r="A24" s="7" t="s">
        <v>9</v>
      </c>
      <c r="B24" s="8" t="s">
        <v>10</v>
      </c>
      <c r="C24" s="9">
        <v>0.41666666666666669</v>
      </c>
      <c r="D24" s="10">
        <v>1345</v>
      </c>
      <c r="E24" s="10">
        <v>135</v>
      </c>
      <c r="F24" s="10">
        <v>112</v>
      </c>
      <c r="G24" s="11">
        <f>(D24/100)*3</f>
        <v>40.349999999999994</v>
      </c>
      <c r="H24" s="11">
        <f>D24-(E24+F24+G24)</f>
        <v>1057.6500000000001</v>
      </c>
    </row>
    <row r="25" spans="1:8" ht="15" customHeight="1" thickBot="1" x14ac:dyDescent="0.3">
      <c r="A25" s="7" t="s">
        <v>17</v>
      </c>
      <c r="B25" s="8" t="s">
        <v>10</v>
      </c>
      <c r="C25" s="9">
        <v>0.41666666666666669</v>
      </c>
      <c r="D25" s="10">
        <v>2334</v>
      </c>
      <c r="E25" s="10">
        <v>230</v>
      </c>
      <c r="F25" s="10">
        <v>208</v>
      </c>
      <c r="G25" s="11">
        <f>(D25/100)*3</f>
        <v>70.02</v>
      </c>
      <c r="H25" s="11">
        <f>D25-(E25+F25+G25)</f>
        <v>1825.98</v>
      </c>
    </row>
    <row r="26" spans="1:8" ht="16.5" thickBot="1" x14ac:dyDescent="0.3">
      <c r="A26" s="5" t="s">
        <v>34</v>
      </c>
      <c r="B26" s="5"/>
      <c r="C26" s="12">
        <f>SUM(C4:C25)</f>
        <v>8.3750000000000018</v>
      </c>
      <c r="D26" s="11">
        <f>SUM(D4:D25)</f>
        <v>61884</v>
      </c>
      <c r="E26" s="11">
        <f t="shared" ref="E26:H26" si="0">SUM(E4:E25)</f>
        <v>6121</v>
      </c>
      <c r="F26" s="11">
        <f t="shared" si="0"/>
        <v>5582</v>
      </c>
      <c r="G26" s="11">
        <f t="shared" si="0"/>
        <v>1856.52</v>
      </c>
      <c r="H26" s="11">
        <f t="shared" si="0"/>
        <v>48324.480000000003</v>
      </c>
    </row>
    <row r="27" spans="1:8" ht="15.75" thickBot="1" x14ac:dyDescent="0.3"/>
    <row r="28" spans="1:8" ht="30" customHeight="1" thickBot="1" x14ac:dyDescent="0.3">
      <c r="C28" s="13" t="s">
        <v>35</v>
      </c>
      <c r="D28" s="13"/>
      <c r="E28" s="13" t="s">
        <v>36</v>
      </c>
      <c r="F28" s="13"/>
      <c r="G28" s="16"/>
    </row>
    <row r="29" spans="1:8" ht="16.5" thickBot="1" x14ac:dyDescent="0.3">
      <c r="A29" s="14"/>
      <c r="B29" s="17" t="s">
        <v>21</v>
      </c>
      <c r="C29" s="18">
        <f>COUNTIF(B4:B25,"adm")</f>
        <v>6</v>
      </c>
      <c r="D29" s="18"/>
      <c r="E29" s="19">
        <f>SUMIF(B4:B25,"adm",D4:D26)</f>
        <v>20481</v>
      </c>
      <c r="F29" s="19"/>
      <c r="G29" s="15"/>
      <c r="H29" s="15"/>
    </row>
    <row r="30" spans="1:8" ht="15.75" thickBot="1" x14ac:dyDescent="0.3">
      <c r="B30" s="17" t="s">
        <v>12</v>
      </c>
      <c r="C30" s="18">
        <f>COUNTIF(B4:B25,"CONTAB")</f>
        <v>7</v>
      </c>
      <c r="D30" s="18"/>
      <c r="E30" s="19">
        <f>SUMIF(B4:B25,"contab",D4:D25)</f>
        <v>20362</v>
      </c>
      <c r="F30" s="19"/>
    </row>
    <row r="31" spans="1:8" ht="15.75" thickBot="1" x14ac:dyDescent="0.3">
      <c r="B31" s="17" t="s">
        <v>10</v>
      </c>
      <c r="C31" s="18">
        <f>COUNTIF(B4:B25,"finan")</f>
        <v>9</v>
      </c>
      <c r="D31" s="18"/>
      <c r="E31" s="19">
        <f>SUMIF(B4:B25,"finan",D4:D25)</f>
        <v>21041</v>
      </c>
      <c r="F31" s="19"/>
    </row>
  </sheetData>
  <mergeCells count="11">
    <mergeCell ref="E28:F28"/>
    <mergeCell ref="C29:D29"/>
    <mergeCell ref="C30:D30"/>
    <mergeCell ref="C31:D31"/>
    <mergeCell ref="E29:F29"/>
    <mergeCell ref="E30:F30"/>
    <mergeCell ref="E31:F31"/>
    <mergeCell ref="A1:H1"/>
    <mergeCell ref="A2:H2"/>
    <mergeCell ref="A26:B26"/>
    <mergeCell ref="C28:D28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orientation="landscape" r:id="rId1"/>
  <headerFooter>
    <oddHeader>&amp;C&amp;"Arial,Normal"&amp;14Lucas Guimarães Dos Santos</oddHeader>
    <oddFooter>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CPS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discente</dc:creator>
  <cp:lastModifiedBy>Henrique</cp:lastModifiedBy>
  <dcterms:created xsi:type="dcterms:W3CDTF">2025-04-29T00:06:56Z</dcterms:created>
  <dcterms:modified xsi:type="dcterms:W3CDTF">2025-05-01T23:39:38Z</dcterms:modified>
</cp:coreProperties>
</file>